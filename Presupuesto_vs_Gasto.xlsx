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<sst xmlns="http://schemas.openxmlformats.org/spreadsheetml/2006/main" count="379" uniqueCount="38">
  <si>
    <t xml:space="preserve">Fecha</t>
  </si>
  <si>
    <t xml:space="preserve">Año</t>
  </si>
  <si>
    <t xml:space="preserve">Mes</t>
  </si>
  <si>
    <t xml:space="preserve">Departamento</t>
  </si>
  <si>
    <t xml:space="preserve">Categoria</t>
  </si>
  <si>
    <t xml:space="preserve">Tipo</t>
  </si>
  <si>
    <t xml:space="preserve">Presupuesto</t>
  </si>
  <si>
    <t xml:space="preserve">Gasto Real</t>
  </si>
  <si>
    <t xml:space="preserve">Enero</t>
  </si>
  <si>
    <t xml:space="preserve">Marketing</t>
  </si>
  <si>
    <t xml:space="preserve">Publicidad</t>
  </si>
  <si>
    <t xml:space="preserve">Variable</t>
  </si>
  <si>
    <t xml:space="preserve">Eventos</t>
  </si>
  <si>
    <t xml:space="preserve">Recurrente</t>
  </si>
  <si>
    <t xml:space="preserve">Software</t>
  </si>
  <si>
    <t xml:space="preserve">Ventas</t>
  </si>
  <si>
    <t xml:space="preserve">Comisiones</t>
  </si>
  <si>
    <t xml:space="preserve">Viajes</t>
  </si>
  <si>
    <t xml:space="preserve">Operaciones</t>
  </si>
  <si>
    <t xml:space="preserve">Suministros</t>
  </si>
  <si>
    <t xml:space="preserve">Logistica</t>
  </si>
  <si>
    <t xml:space="preserve">Mantenimiento</t>
  </si>
  <si>
    <t xml:space="preserve">TI</t>
  </si>
  <si>
    <t xml:space="preserve">Hardware</t>
  </si>
  <si>
    <t xml:space="preserve">Servicios Nube</t>
  </si>
  <si>
    <t xml:space="preserve">RRHH</t>
  </si>
  <si>
    <t xml:space="preserve">Capacitacion</t>
  </si>
  <si>
    <t xml:space="preserve">Reclutamiento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</si>
  <si>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</si>
  <si>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</si>
  <si>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</si>
  <si>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</si>
  <si>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</si>
  <si>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Presupuesto Total</t>
  </si>
  <si>
    <t xml:space="preserve">Gasto Total</t>
  </si>
  <si>
    <t xml:space="preserve">Variacion ($)</t>
  </si>
  <si>
    <t xml:space="preserve">% Ejecucion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</si>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</sst>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\$#,##0"/>
    <numFmt numFmtId="167" formatCode="\$#,##0;&quot;($&quot;#,##0\);\-"/>
    <numFmt numFmtId="168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8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45658</v>
      </c>
      <c r="B2" s="3" t="n">
        <v>2025</v>
      </c>
      <c r="C2" s="3" t="s">
        <v>8</v>
      </c>
      <c r="D2" s="3" t="s">
        <v>9</v>
      </c>
      <c r="E2" s="3" t="s">
        <v>10</v>
      </c>
      <c r="F2" s="3" t="s">
        <v>11</v>
      </c>
      <c r="G2" s="4" t="n">
        <v>20000</v>
      </c>
      <c r="H2" s="4" t="n">
        <v>15113</v>
      </c>
    </row>
    <row r="3" customFormat="false" ht="15" hidden="false" customHeight="false" outlineLevel="0" collapsed="false">
      <c r="A3" s="2" t="n">
        <v>45658</v>
      </c>
      <c r="B3" s="3" t="n">
        <v>2025</v>
      </c>
      <c r="C3" s="3" t="s">
        <v>8</v>
      </c>
      <c r="D3" s="3" t="s">
        <v>9</v>
      </c>
      <c r="E3" s="3" t="s">
        <v>12</v>
      </c>
      <c r="F3" s="3" t="s">
        <v>13</v>
      </c>
      <c r="G3" s="4" t="n">
        <v>8000</v>
      </c>
      <c r="H3" s="4" t="n">
        <v>6493</v>
      </c>
    </row>
    <row r="4" customFormat="false" ht="15" hidden="false" customHeight="false" outlineLevel="0" collapsed="false">
      <c r="A4" s="2" t="n">
        <v>45658</v>
      </c>
      <c r="B4" s="3" t="n">
        <v>2025</v>
      </c>
      <c r="C4" s="3" t="s">
        <v>8</v>
      </c>
      <c r="D4" s="3" t="s">
        <v>9</v>
      </c>
      <c r="E4" s="3" t="s">
        <v>14</v>
      </c>
      <c r="F4" s="3" t="s">
        <v>13</v>
      </c>
      <c r="G4" s="4" t="n">
        <v>20000</v>
      </c>
      <c r="H4" s="4" t="n">
        <v>21407</v>
      </c>
    </row>
    <row r="5" customFormat="false" ht="15" hidden="false" customHeight="false" outlineLevel="0" collapsed="false">
      <c r="A5" s="2" t="n">
        <v>45658</v>
      </c>
      <c r="B5" s="3" t="n">
        <v>2025</v>
      </c>
      <c r="C5" s="3" t="s">
        <v>8</v>
      </c>
      <c r="D5" s="3" t="s">
        <v>15</v>
      </c>
      <c r="E5" s="3" t="s">
        <v>16</v>
      </c>
      <c r="F5" s="3" t="s">
        <v>11</v>
      </c>
      <c r="G5" s="4" t="n">
        <v>15000</v>
      </c>
      <c r="H5" s="4" t="n">
        <v>11152</v>
      </c>
    </row>
    <row r="6" customFormat="false" ht="15" hidden="false" customHeight="false" outlineLevel="0" collapsed="false">
      <c r="A6" s="2" t="n">
        <v>45658</v>
      </c>
      <c r="B6" s="3" t="n">
        <v>2025</v>
      </c>
      <c r="C6" s="3" t="s">
        <v>8</v>
      </c>
      <c r="D6" s="3" t="s">
        <v>15</v>
      </c>
      <c r="E6" s="3" t="s">
        <v>17</v>
      </c>
      <c r="F6" s="3" t="s">
        <v>13</v>
      </c>
      <c r="G6" s="4" t="n">
        <v>5000</v>
      </c>
      <c r="H6" s="4" t="n">
        <v>3574</v>
      </c>
    </row>
    <row r="7" customFormat="false" ht="15" hidden="false" customHeight="false" outlineLevel="0" collapsed="false">
      <c r="A7" s="2" t="n">
        <v>45658</v>
      </c>
      <c r="B7" s="3" t="n">
        <v>2025</v>
      </c>
      <c r="C7" s="3" t="s">
        <v>8</v>
      </c>
      <c r="D7" s="3" t="s">
        <v>15</v>
      </c>
      <c r="E7" s="3" t="s">
        <v>14</v>
      </c>
      <c r="F7" s="3" t="s">
        <v>13</v>
      </c>
      <c r="G7" s="4" t="n">
        <v>8000</v>
      </c>
      <c r="H7" s="4" t="n">
        <v>7621</v>
      </c>
    </row>
    <row r="8" customFormat="false" ht="15" hidden="false" customHeight="false" outlineLevel="0" collapsed="false">
      <c r="A8" s="2" t="n">
        <v>45658</v>
      </c>
      <c r="B8" s="3" t="n">
        <v>2025</v>
      </c>
      <c r="C8" s="3" t="s">
        <v>8</v>
      </c>
      <c r="D8" s="3" t="s">
        <v>18</v>
      </c>
      <c r="E8" s="3" t="s">
        <v>19</v>
      </c>
      <c r="F8" s="3" t="s">
        <v>11</v>
      </c>
      <c r="G8" s="4" t="n">
        <v>5000</v>
      </c>
      <c r="H8" s="4" t="n">
        <v>4903</v>
      </c>
    </row>
    <row r="9" customFormat="false" ht="15" hidden="false" customHeight="false" outlineLevel="0" collapsed="false">
      <c r="A9" s="2" t="n">
        <v>45658</v>
      </c>
      <c r="B9" s="3" t="n">
        <v>2025</v>
      </c>
      <c r="C9" s="3" t="s">
        <v>8</v>
      </c>
      <c r="D9" s="3" t="s">
        <v>18</v>
      </c>
      <c r="E9" s="3" t="s">
        <v>20</v>
      </c>
      <c r="F9" s="3" t="s">
        <v>11</v>
      </c>
      <c r="G9" s="4" t="n">
        <v>8000</v>
      </c>
      <c r="H9" s="4" t="n">
        <v>7397</v>
      </c>
    </row>
    <row r="10" customFormat="false" ht="15" hidden="false" customHeight="false" outlineLevel="0" collapsed="false">
      <c r="A10" s="2" t="n">
        <v>45658</v>
      </c>
      <c r="B10" s="3" t="n">
        <v>2025</v>
      </c>
      <c r="C10" s="3" t="s">
        <v>8</v>
      </c>
      <c r="D10" s="3" t="s">
        <v>18</v>
      </c>
      <c r="E10" s="3" t="s">
        <v>21</v>
      </c>
      <c r="F10" s="3" t="s">
        <v>13</v>
      </c>
      <c r="G10" s="4" t="n">
        <v>5000</v>
      </c>
      <c r="H10" s="4" t="n">
        <v>5397</v>
      </c>
    </row>
    <row r="11" customFormat="false" ht="15" hidden="false" customHeight="false" outlineLevel="0" collapsed="false">
      <c r="A11" s="2" t="n">
        <v>45658</v>
      </c>
      <c r="B11" s="3" t="n">
        <v>2025</v>
      </c>
      <c r="C11" s="3" t="s">
        <v>8</v>
      </c>
      <c r="D11" s="3" t="s">
        <v>22</v>
      </c>
      <c r="E11" s="3" t="s">
        <v>14</v>
      </c>
      <c r="F11" s="3" t="s">
        <v>13</v>
      </c>
      <c r="G11" s="4" t="n">
        <v>20000</v>
      </c>
      <c r="H11" s="4" t="n">
        <v>18226</v>
      </c>
    </row>
    <row r="12" customFormat="false" ht="15" hidden="false" customHeight="false" outlineLevel="0" collapsed="false">
      <c r="A12" s="2" t="n">
        <v>45658</v>
      </c>
      <c r="B12" s="3" t="n">
        <v>2025</v>
      </c>
      <c r="C12" s="3" t="s">
        <v>8</v>
      </c>
      <c r="D12" s="3" t="s">
        <v>22</v>
      </c>
      <c r="E12" s="3" t="s">
        <v>23</v>
      </c>
      <c r="F12" s="3" t="s">
        <v>11</v>
      </c>
      <c r="G12" s="4" t="n">
        <v>10000</v>
      </c>
      <c r="H12" s="4" t="n">
        <v>7777</v>
      </c>
    </row>
    <row r="13" customFormat="false" ht="15" hidden="false" customHeight="false" outlineLevel="0" collapsed="false">
      <c r="A13" s="2" t="n">
        <v>45658</v>
      </c>
      <c r="B13" s="3" t="n">
        <v>2025</v>
      </c>
      <c r="C13" s="3" t="s">
        <v>8</v>
      </c>
      <c r="D13" s="3" t="s">
        <v>22</v>
      </c>
      <c r="E13" s="3" t="s">
        <v>24</v>
      </c>
      <c r="F13" s="3" t="s">
        <v>13</v>
      </c>
      <c r="G13" s="4" t="n">
        <v>5000</v>
      </c>
      <c r="H13" s="4" t="n">
        <v>3732</v>
      </c>
    </row>
    <row r="14" customFormat="false" ht="15" hidden="false" customHeight="false" outlineLevel="0" collapsed="false">
      <c r="A14" s="2" t="n">
        <v>45658</v>
      </c>
      <c r="B14" s="3" t="n">
        <v>2025</v>
      </c>
      <c r="C14" s="3" t="s">
        <v>8</v>
      </c>
      <c r="D14" s="3" t="s">
        <v>25</v>
      </c>
      <c r="E14" s="3" t="s">
        <v>26</v>
      </c>
      <c r="F14" s="3" t="s">
        <v>11</v>
      </c>
      <c r="G14" s="4" t="n">
        <v>10000</v>
      </c>
      <c r="H14" s="4" t="n">
        <v>11237</v>
      </c>
    </row>
    <row r="15" customFormat="false" ht="15" hidden="false" customHeight="false" outlineLevel="0" collapsed="false">
      <c r="A15" s="2" t="n">
        <v>45658</v>
      </c>
      <c r="B15" s="3" t="n">
        <v>2025</v>
      </c>
      <c r="C15" s="3" t="s">
        <v>8</v>
      </c>
      <c r="D15" s="3" t="s">
        <v>25</v>
      </c>
      <c r="E15" s="3" t="s">
        <v>27</v>
      </c>
      <c r="F15" s="3" t="s">
        <v>13</v>
      </c>
      <c r="G15" s="4" t="n">
        <v>5000</v>
      </c>
      <c r="H15" s="4" t="n">
        <v>5324</v>
      </c>
    </row>
    <row r="16" customFormat="false" ht="15" hidden="false" customHeight="false" outlineLevel="0" collapsed="false">
      <c r="A16" s="2" t="n">
        <v>45658</v>
      </c>
      <c r="B16" s="3" t="n">
        <v>2025</v>
      </c>
      <c r="C16" s="3" t="s">
        <v>8</v>
      </c>
      <c r="D16" s="3" t="s">
        <v>25</v>
      </c>
      <c r="E16" s="3" t="s">
        <v>14</v>
      </c>
      <c r="F16" s="3" t="s">
        <v>13</v>
      </c>
      <c r="G16" s="4" t="n">
        <v>12000</v>
      </c>
      <c r="H16" s="4" t="n">
        <v>8873</v>
      </c>
    </row>
    <row r="17" customFormat="false" ht="15" hidden="false" customHeight="false" outlineLevel="0" collapsed="false">
      <c r="A17" s="2" t="n">
        <v>45689</v>
      </c>
      <c r="B17" s="3" t="n">
        <v>2025</v>
      </c>
      <c r="C17" s="3" t="s">
        <v>28</v>
      </c>
      <c r="D17" s="3" t="s">
        <v>9</v>
      </c>
      <c r="E17" s="3" t="s">
        <v>10</v>
      </c>
      <c r="F17" s="3" t="s">
        <v>11</v>
      </c>
      <c r="G17" s="4" t="n">
        <v>10000</v>
      </c>
      <c r="H17" s="4" t="n">
        <v>11147</v>
      </c>
    </row>
    <row r="18" customFormat="false" ht="15" hidden="false" customHeight="false" outlineLevel="0" collapsed="false">
      <c r="A18" s="2" t="n">
        <v>45689</v>
      </c>
      <c r="B18" s="3" t="n">
        <v>2025</v>
      </c>
      <c r="C18" s="3" t="s">
        <v>28</v>
      </c>
      <c r="D18" s="3" t="s">
        <v>9</v>
      </c>
      <c r="E18" s="3" t="s">
        <v>12</v>
      </c>
      <c r="F18" s="3" t="s">
        <v>13</v>
      </c>
      <c r="G18" s="4" t="n">
        <v>15000</v>
      </c>
      <c r="H18" s="4" t="n">
        <v>11942</v>
      </c>
    </row>
    <row r="19" customFormat="false" ht="15" hidden="false" customHeight="false" outlineLevel="0" collapsed="false">
      <c r="A19" s="2" t="n">
        <v>45689</v>
      </c>
      <c r="B19" s="3" t="n">
        <v>2025</v>
      </c>
      <c r="C19" s="3" t="s">
        <v>28</v>
      </c>
      <c r="D19" s="3" t="s">
        <v>9</v>
      </c>
      <c r="E19" s="3" t="s">
        <v>14</v>
      </c>
      <c r="F19" s="3" t="s">
        <v>13</v>
      </c>
      <c r="G19" s="4" t="n">
        <v>5000</v>
      </c>
      <c r="H19" s="4" t="n">
        <v>5153</v>
      </c>
    </row>
    <row r="20" customFormat="false" ht="15" hidden="false" customHeight="false" outlineLevel="0" collapsed="false">
      <c r="A20" s="2" t="n">
        <v>45689</v>
      </c>
      <c r="B20" s="3" t="n">
        <v>2025</v>
      </c>
      <c r="C20" s="3" t="s">
        <v>28</v>
      </c>
      <c r="D20" s="3" t="s">
        <v>15</v>
      </c>
      <c r="E20" s="3" t="s">
        <v>16</v>
      </c>
      <c r="F20" s="3" t="s">
        <v>13</v>
      </c>
      <c r="G20" s="4" t="n">
        <v>10000</v>
      </c>
      <c r="H20" s="4" t="n">
        <v>11926</v>
      </c>
    </row>
    <row r="21" customFormat="false" ht="15" hidden="false" customHeight="false" outlineLevel="0" collapsed="false">
      <c r="A21" s="2" t="n">
        <v>45689</v>
      </c>
      <c r="B21" s="3" t="n">
        <v>2025</v>
      </c>
      <c r="C21" s="3" t="s">
        <v>28</v>
      </c>
      <c r="D21" s="3" t="s">
        <v>15</v>
      </c>
      <c r="E21" s="3" t="s">
        <v>17</v>
      </c>
      <c r="F21" s="3" t="s">
        <v>11</v>
      </c>
      <c r="G21" s="4" t="n">
        <v>5000</v>
      </c>
      <c r="H21" s="4" t="n">
        <v>4450</v>
      </c>
    </row>
    <row r="22" customFormat="false" ht="15" hidden="false" customHeight="false" outlineLevel="0" collapsed="false">
      <c r="A22" s="2" t="n">
        <v>45689</v>
      </c>
      <c r="B22" s="3" t="n">
        <v>2025</v>
      </c>
      <c r="C22" s="3" t="s">
        <v>28</v>
      </c>
      <c r="D22" s="3" t="s">
        <v>15</v>
      </c>
      <c r="E22" s="3" t="s">
        <v>14</v>
      </c>
      <c r="F22" s="3" t="s">
        <v>13</v>
      </c>
      <c r="G22" s="4" t="n">
        <v>20000</v>
      </c>
      <c r="H22" s="4" t="n">
        <v>22341</v>
      </c>
    </row>
    <row r="23" customFormat="false" ht="15" hidden="false" customHeight="false" outlineLevel="0" collapsed="false">
      <c r="A23" s="2" t="n">
        <v>45689</v>
      </c>
      <c r="B23" s="3" t="n">
        <v>2025</v>
      </c>
      <c r="C23" s="3" t="s">
        <v>28</v>
      </c>
      <c r="D23" s="3" t="s">
        <v>18</v>
      </c>
      <c r="E23" s="3" t="s">
        <v>19</v>
      </c>
      <c r="F23" s="3" t="s">
        <v>13</v>
      </c>
      <c r="G23" s="4" t="n">
        <v>8000</v>
      </c>
      <c r="H23" s="4" t="n">
        <v>7081</v>
      </c>
    </row>
    <row r="24" customFormat="false" ht="15" hidden="false" customHeight="false" outlineLevel="0" collapsed="false">
      <c r="A24" s="2" t="n">
        <v>45689</v>
      </c>
      <c r="B24" s="3" t="n">
        <v>2025</v>
      </c>
      <c r="C24" s="3" t="s">
        <v>28</v>
      </c>
      <c r="D24" s="3" t="s">
        <v>18</v>
      </c>
      <c r="E24" s="3" t="s">
        <v>20</v>
      </c>
      <c r="F24" s="3" t="s">
        <v>13</v>
      </c>
      <c r="G24" s="4" t="n">
        <v>20000</v>
      </c>
      <c r="H24" s="4" t="n">
        <v>16670</v>
      </c>
    </row>
    <row r="25" customFormat="false" ht="15" hidden="false" customHeight="false" outlineLevel="0" collapsed="false">
      <c r="A25" s="2" t="n">
        <v>45689</v>
      </c>
      <c r="B25" s="3" t="n">
        <v>2025</v>
      </c>
      <c r="C25" s="3" t="s">
        <v>28</v>
      </c>
      <c r="D25" s="3" t="s">
        <v>18</v>
      </c>
      <c r="E25" s="3" t="s">
        <v>21</v>
      </c>
      <c r="F25" s="3" t="s">
        <v>13</v>
      </c>
      <c r="G25" s="4" t="n">
        <v>15000</v>
      </c>
      <c r="H25" s="4" t="n">
        <v>15262</v>
      </c>
    </row>
    <row r="26" customFormat="false" ht="15" hidden="false" customHeight="false" outlineLevel="0" collapsed="false">
      <c r="A26" s="2" t="n">
        <v>45689</v>
      </c>
      <c r="B26" s="3" t="n">
        <v>2025</v>
      </c>
      <c r="C26" s="3" t="s">
        <v>28</v>
      </c>
      <c r="D26" s="3" t="s">
        <v>22</v>
      </c>
      <c r="E26" s="3" t="s">
        <v>14</v>
      </c>
      <c r="F26" s="3" t="s">
        <v>13</v>
      </c>
      <c r="G26" s="4" t="n">
        <v>8000</v>
      </c>
      <c r="H26" s="4" t="n">
        <v>7449</v>
      </c>
    </row>
    <row r="27" customFormat="false" ht="15" hidden="false" customHeight="false" outlineLevel="0" collapsed="false">
      <c r="A27" s="2" t="n">
        <v>45689</v>
      </c>
      <c r="B27" s="3" t="n">
        <v>2025</v>
      </c>
      <c r="C27" s="3" t="s">
        <v>28</v>
      </c>
      <c r="D27" s="3" t="s">
        <v>22</v>
      </c>
      <c r="E27" s="3" t="s">
        <v>23</v>
      </c>
      <c r="F27" s="3" t="s">
        <v>13</v>
      </c>
      <c r="G27" s="4" t="n">
        <v>10000</v>
      </c>
      <c r="H27" s="4" t="n">
        <v>11948</v>
      </c>
    </row>
    <row r="28" customFormat="false" ht="15" hidden="false" customHeight="false" outlineLevel="0" collapsed="false">
      <c r="A28" s="2" t="n">
        <v>45689</v>
      </c>
      <c r="B28" s="3" t="n">
        <v>2025</v>
      </c>
      <c r="C28" s="3" t="s">
        <v>28</v>
      </c>
      <c r="D28" s="3" t="s">
        <v>22</v>
      </c>
      <c r="E28" s="3" t="s">
        <v>24</v>
      </c>
      <c r="F28" s="3" t="s">
        <v>13</v>
      </c>
      <c r="G28" s="4" t="n">
        <v>20000</v>
      </c>
      <c r="H28" s="4" t="n">
        <v>17243</v>
      </c>
    </row>
    <row r="29" customFormat="false" ht="15" hidden="false" customHeight="false" outlineLevel="0" collapsed="false">
      <c r="A29" s="2" t="n">
        <v>45689</v>
      </c>
      <c r="B29" s="3" t="n">
        <v>2025</v>
      </c>
      <c r="C29" s="3" t="s">
        <v>28</v>
      </c>
      <c r="D29" s="3" t="s">
        <v>25</v>
      </c>
      <c r="E29" s="3" t="s">
        <v>26</v>
      </c>
      <c r="F29" s="3" t="s">
        <v>11</v>
      </c>
      <c r="G29" s="4" t="n">
        <v>8000</v>
      </c>
      <c r="H29" s="4" t="n">
        <v>8887</v>
      </c>
    </row>
    <row r="30" customFormat="false" ht="15" hidden="false" customHeight="false" outlineLevel="0" collapsed="false">
      <c r="A30" s="2" t="n">
        <v>45689</v>
      </c>
      <c r="B30" s="3" t="n">
        <v>2025</v>
      </c>
      <c r="C30" s="3" t="s">
        <v>28</v>
      </c>
      <c r="D30" s="3" t="s">
        <v>25</v>
      </c>
      <c r="E30" s="3" t="s">
        <v>27</v>
      </c>
      <c r="F30" s="3" t="s">
        <v>13</v>
      </c>
      <c r="G30" s="4" t="n">
        <v>12000</v>
      </c>
      <c r="H30" s="4" t="n">
        <v>10006</v>
      </c>
    </row>
    <row r="31" customFormat="false" ht="15" hidden="false" customHeight="false" outlineLevel="0" collapsed="false">
      <c r="A31" s="2" t="n">
        <v>45689</v>
      </c>
      <c r="B31" s="3" t="n">
        <v>2025</v>
      </c>
      <c r="C31" s="3" t="s">
        <v>28</v>
      </c>
      <c r="D31" s="3" t="s">
        <v>25</v>
      </c>
      <c r="E31" s="3" t="s">
        <v>14</v>
      </c>
      <c r="F31" s="3" t="s">
        <v>13</v>
      </c>
      <c r="G31" s="4" t="n">
        <v>15000</v>
      </c>
      <c r="H31" s="4" t="n">
        <v>17073</v>
      </c>
    </row>
    <row r="32" customFormat="false" ht="15" hidden="false" customHeight="false" outlineLevel="0" collapsed="false">
      <c r="A32" s="2" t="n">
        <v>45717</v>
      </c>
      <c r="B32" s="3" t="n">
        <v>2025</v>
      </c>
      <c r="C32" s="3" t="s">
        <v>29</v>
      </c>
      <c r="D32" s="3" t="s">
        <v>9</v>
      </c>
      <c r="E32" s="3" t="s">
        <v>10</v>
      </c>
      <c r="F32" s="3" t="s">
        <v>11</v>
      </c>
      <c r="G32" s="4" t="n">
        <v>10000</v>
      </c>
      <c r="H32" s="4" t="n">
        <v>8063</v>
      </c>
    </row>
    <row r="33" customFormat="false" ht="15" hidden="false" customHeight="false" outlineLevel="0" collapsed="false">
      <c r="A33" s="2" t="n">
        <v>45717</v>
      </c>
      <c r="B33" s="3" t="n">
        <v>2025</v>
      </c>
      <c r="C33" s="3" t="s">
        <v>29</v>
      </c>
      <c r="D33" s="3" t="s">
        <v>9</v>
      </c>
      <c r="E33" s="3" t="s">
        <v>12</v>
      </c>
      <c r="F33" s="3" t="s">
        <v>11</v>
      </c>
      <c r="G33" s="4" t="n">
        <v>12000</v>
      </c>
      <c r="H33" s="4" t="n">
        <v>13708</v>
      </c>
    </row>
    <row r="34" customFormat="false" ht="15" hidden="false" customHeight="false" outlineLevel="0" collapsed="false">
      <c r="A34" s="2" t="n">
        <v>45717</v>
      </c>
      <c r="B34" s="3" t="n">
        <v>2025</v>
      </c>
      <c r="C34" s="3" t="s">
        <v>29</v>
      </c>
      <c r="D34" s="3" t="s">
        <v>9</v>
      </c>
      <c r="E34" s="3" t="s">
        <v>14</v>
      </c>
      <c r="F34" s="3" t="s">
        <v>13</v>
      </c>
      <c r="G34" s="4" t="n">
        <v>8000</v>
      </c>
      <c r="H34" s="4" t="n">
        <v>6660</v>
      </c>
    </row>
    <row r="35" customFormat="false" ht="15" hidden="false" customHeight="false" outlineLevel="0" collapsed="false">
      <c r="A35" s="2" t="n">
        <v>45717</v>
      </c>
      <c r="B35" s="3" t="n">
        <v>2025</v>
      </c>
      <c r="C35" s="3" t="s">
        <v>29</v>
      </c>
      <c r="D35" s="3" t="s">
        <v>15</v>
      </c>
      <c r="E35" s="3" t="s">
        <v>16</v>
      </c>
      <c r="F35" s="3" t="s">
        <v>11</v>
      </c>
      <c r="G35" s="4" t="n">
        <v>8000</v>
      </c>
      <c r="H35" s="4" t="n">
        <v>8580</v>
      </c>
    </row>
    <row r="36" customFormat="false" ht="15" hidden="false" customHeight="false" outlineLevel="0" collapsed="false">
      <c r="A36" s="2" t="n">
        <v>45717</v>
      </c>
      <c r="B36" s="3" t="n">
        <v>2025</v>
      </c>
      <c r="C36" s="3" t="s">
        <v>29</v>
      </c>
      <c r="D36" s="3" t="s">
        <v>15</v>
      </c>
      <c r="E36" s="3" t="s">
        <v>17</v>
      </c>
      <c r="F36" s="3" t="s">
        <v>11</v>
      </c>
      <c r="G36" s="4" t="n">
        <v>20000</v>
      </c>
      <c r="H36" s="4" t="n">
        <v>19846</v>
      </c>
    </row>
    <row r="37" customFormat="false" ht="15" hidden="false" customHeight="false" outlineLevel="0" collapsed="false">
      <c r="A37" s="2" t="n">
        <v>45717</v>
      </c>
      <c r="B37" s="3" t="n">
        <v>2025</v>
      </c>
      <c r="C37" s="3" t="s">
        <v>29</v>
      </c>
      <c r="D37" s="3" t="s">
        <v>15</v>
      </c>
      <c r="E37" s="3" t="s">
        <v>14</v>
      </c>
      <c r="F37" s="3" t="s">
        <v>13</v>
      </c>
      <c r="G37" s="4" t="n">
        <v>10000</v>
      </c>
      <c r="H37" s="4" t="n">
        <v>8097</v>
      </c>
    </row>
    <row r="38" customFormat="false" ht="15" hidden="false" customHeight="false" outlineLevel="0" collapsed="false">
      <c r="A38" s="2" t="n">
        <v>45717</v>
      </c>
      <c r="B38" s="3" t="n">
        <v>2025</v>
      </c>
      <c r="C38" s="3" t="s">
        <v>29</v>
      </c>
      <c r="D38" s="3" t="s">
        <v>18</v>
      </c>
      <c r="E38" s="3" t="s">
        <v>19</v>
      </c>
      <c r="F38" s="3" t="s">
        <v>13</v>
      </c>
      <c r="G38" s="4" t="n">
        <v>8000</v>
      </c>
      <c r="H38" s="4" t="n">
        <v>7638</v>
      </c>
    </row>
    <row r="39" customFormat="false" ht="15" hidden="false" customHeight="false" outlineLevel="0" collapsed="false">
      <c r="A39" s="2" t="n">
        <v>45717</v>
      </c>
      <c r="B39" s="3" t="n">
        <v>2025</v>
      </c>
      <c r="C39" s="3" t="s">
        <v>29</v>
      </c>
      <c r="D39" s="3" t="s">
        <v>18</v>
      </c>
      <c r="E39" s="3" t="s">
        <v>20</v>
      </c>
      <c r="F39" s="3" t="s">
        <v>13</v>
      </c>
      <c r="G39" s="4" t="n">
        <v>5000</v>
      </c>
      <c r="H39" s="4" t="n">
        <v>5653</v>
      </c>
    </row>
    <row r="40" customFormat="false" ht="15" hidden="false" customHeight="false" outlineLevel="0" collapsed="false">
      <c r="A40" s="2" t="n">
        <v>45717</v>
      </c>
      <c r="B40" s="3" t="n">
        <v>2025</v>
      </c>
      <c r="C40" s="3" t="s">
        <v>29</v>
      </c>
      <c r="D40" s="3" t="s">
        <v>18</v>
      </c>
      <c r="E40" s="3" t="s">
        <v>21</v>
      </c>
      <c r="F40" s="3" t="s">
        <v>11</v>
      </c>
      <c r="G40" s="4" t="n">
        <v>20000</v>
      </c>
      <c r="H40" s="4" t="n">
        <v>15600</v>
      </c>
    </row>
    <row r="41" customFormat="false" ht="15" hidden="false" customHeight="false" outlineLevel="0" collapsed="false">
      <c r="A41" s="2" t="n">
        <v>45717</v>
      </c>
      <c r="B41" s="3" t="n">
        <v>2025</v>
      </c>
      <c r="C41" s="3" t="s">
        <v>29</v>
      </c>
      <c r="D41" s="3" t="s">
        <v>22</v>
      </c>
      <c r="E41" s="3" t="s">
        <v>14</v>
      </c>
      <c r="F41" s="3" t="s">
        <v>13</v>
      </c>
      <c r="G41" s="4" t="n">
        <v>15000</v>
      </c>
      <c r="H41" s="4" t="n">
        <v>10976</v>
      </c>
    </row>
    <row r="42" customFormat="false" ht="15" hidden="false" customHeight="false" outlineLevel="0" collapsed="false">
      <c r="A42" s="2" t="n">
        <v>45717</v>
      </c>
      <c r="B42" s="3" t="n">
        <v>2025</v>
      </c>
      <c r="C42" s="3" t="s">
        <v>29</v>
      </c>
      <c r="D42" s="3" t="s">
        <v>22</v>
      </c>
      <c r="E42" s="3" t="s">
        <v>23</v>
      </c>
      <c r="F42" s="3" t="s">
        <v>11</v>
      </c>
      <c r="G42" s="4" t="n">
        <v>12000</v>
      </c>
      <c r="H42" s="4" t="n">
        <v>11975</v>
      </c>
    </row>
    <row r="43" customFormat="false" ht="15" hidden="false" customHeight="false" outlineLevel="0" collapsed="false">
      <c r="A43" s="2" t="n">
        <v>45717</v>
      </c>
      <c r="B43" s="3" t="n">
        <v>2025</v>
      </c>
      <c r="C43" s="3" t="s">
        <v>29</v>
      </c>
      <c r="D43" s="3" t="s">
        <v>22</v>
      </c>
      <c r="E43" s="3" t="s">
        <v>24</v>
      </c>
      <c r="F43" s="3" t="s">
        <v>13</v>
      </c>
      <c r="G43" s="4" t="n">
        <v>15000</v>
      </c>
      <c r="H43" s="4" t="n">
        <v>12386</v>
      </c>
    </row>
    <row r="44" customFormat="false" ht="15" hidden="false" customHeight="false" outlineLevel="0" collapsed="false">
      <c r="A44" s="2" t="n">
        <v>45717</v>
      </c>
      <c r="B44" s="3" t="n">
        <v>2025</v>
      </c>
      <c r="C44" s="3" t="s">
        <v>29</v>
      </c>
      <c r="D44" s="3" t="s">
        <v>25</v>
      </c>
      <c r="E44" s="3" t="s">
        <v>26</v>
      </c>
      <c r="F44" s="3" t="s">
        <v>11</v>
      </c>
      <c r="G44" s="4" t="n">
        <v>20000</v>
      </c>
      <c r="H44" s="4" t="n">
        <v>21207</v>
      </c>
    </row>
    <row r="45" customFormat="false" ht="15" hidden="false" customHeight="false" outlineLevel="0" collapsed="false">
      <c r="A45" s="2" t="n">
        <v>45717</v>
      </c>
      <c r="B45" s="3" t="n">
        <v>2025</v>
      </c>
      <c r="C45" s="3" t="s">
        <v>29</v>
      </c>
      <c r="D45" s="3" t="s">
        <v>25</v>
      </c>
      <c r="E45" s="3" t="s">
        <v>27</v>
      </c>
      <c r="F45" s="3" t="s">
        <v>11</v>
      </c>
      <c r="G45" s="4" t="n">
        <v>20000</v>
      </c>
      <c r="H45" s="4" t="n">
        <v>17402</v>
      </c>
    </row>
    <row r="46" customFormat="false" ht="15" hidden="false" customHeight="false" outlineLevel="0" collapsed="false">
      <c r="A46" s="2" t="n">
        <v>45717</v>
      </c>
      <c r="B46" s="3" t="n">
        <v>2025</v>
      </c>
      <c r="C46" s="3" t="s">
        <v>29</v>
      </c>
      <c r="D46" s="3" t="s">
        <v>25</v>
      </c>
      <c r="E46" s="3" t="s">
        <v>14</v>
      </c>
      <c r="F46" s="3" t="s">
        <v>13</v>
      </c>
      <c r="G46" s="4" t="n">
        <v>12000</v>
      </c>
      <c r="H46" s="4" t="n">
        <v>9349</v>
      </c>
    </row>
    <row r="47" customFormat="false" ht="15" hidden="false" customHeight="false" outlineLevel="0" collapsed="false">
      <c r="A47" s="2" t="n">
        <v>45748</v>
      </c>
      <c r="B47" s="3" t="n">
        <v>2025</v>
      </c>
      <c r="C47" s="3" t="s">
        <v>30</v>
      </c>
      <c r="D47" s="3" t="s">
        <v>9</v>
      </c>
      <c r="E47" s="3" t="s">
        <v>10</v>
      </c>
      <c r="F47" s="3" t="s">
        <v>11</v>
      </c>
      <c r="G47" s="4" t="n">
        <v>5000</v>
      </c>
      <c r="H47" s="4" t="n">
        <v>5885</v>
      </c>
    </row>
    <row r="48" customFormat="false" ht="15" hidden="false" customHeight="false" outlineLevel="0" collapsed="false">
      <c r="A48" s="2" t="n">
        <v>45748</v>
      </c>
      <c r="B48" s="3" t="n">
        <v>2025</v>
      </c>
      <c r="C48" s="3" t="s">
        <v>30</v>
      </c>
      <c r="D48" s="3" t="s">
        <v>9</v>
      </c>
      <c r="E48" s="3" t="s">
        <v>12</v>
      </c>
      <c r="F48" s="3" t="s">
        <v>13</v>
      </c>
      <c r="G48" s="4" t="n">
        <v>15000</v>
      </c>
      <c r="H48" s="4" t="n">
        <v>16215</v>
      </c>
    </row>
    <row r="49" customFormat="false" ht="15" hidden="false" customHeight="false" outlineLevel="0" collapsed="false">
      <c r="A49" s="2" t="n">
        <v>45748</v>
      </c>
      <c r="B49" s="3" t="n">
        <v>2025</v>
      </c>
      <c r="C49" s="3" t="s">
        <v>30</v>
      </c>
      <c r="D49" s="3" t="s">
        <v>9</v>
      </c>
      <c r="E49" s="3" t="s">
        <v>14</v>
      </c>
      <c r="F49" s="3" t="s">
        <v>13</v>
      </c>
      <c r="G49" s="4" t="n">
        <v>20000</v>
      </c>
      <c r="H49" s="4" t="n">
        <v>16984</v>
      </c>
    </row>
    <row r="50" customFormat="false" ht="15" hidden="false" customHeight="false" outlineLevel="0" collapsed="false">
      <c r="A50" s="2" t="n">
        <v>45748</v>
      </c>
      <c r="B50" s="3" t="n">
        <v>2025</v>
      </c>
      <c r="C50" s="3" t="s">
        <v>30</v>
      </c>
      <c r="D50" s="3" t="s">
        <v>15</v>
      </c>
      <c r="E50" s="3" t="s">
        <v>16</v>
      </c>
      <c r="F50" s="3" t="s">
        <v>13</v>
      </c>
      <c r="G50" s="4" t="n">
        <v>20000</v>
      </c>
      <c r="H50" s="4" t="n">
        <v>19077</v>
      </c>
    </row>
    <row r="51" customFormat="false" ht="15" hidden="false" customHeight="false" outlineLevel="0" collapsed="false">
      <c r="A51" s="2" t="n">
        <v>45748</v>
      </c>
      <c r="B51" s="3" t="n">
        <v>2025</v>
      </c>
      <c r="C51" s="3" t="s">
        <v>30</v>
      </c>
      <c r="D51" s="3" t="s">
        <v>15</v>
      </c>
      <c r="E51" s="3" t="s">
        <v>17</v>
      </c>
      <c r="F51" s="3" t="s">
        <v>13</v>
      </c>
      <c r="G51" s="4" t="n">
        <v>8000</v>
      </c>
      <c r="H51" s="4" t="n">
        <v>7096</v>
      </c>
    </row>
    <row r="52" customFormat="false" ht="15" hidden="false" customHeight="false" outlineLevel="0" collapsed="false">
      <c r="A52" s="2" t="n">
        <v>45748</v>
      </c>
      <c r="B52" s="3" t="n">
        <v>2025</v>
      </c>
      <c r="C52" s="3" t="s">
        <v>30</v>
      </c>
      <c r="D52" s="3" t="s">
        <v>15</v>
      </c>
      <c r="E52" s="3" t="s">
        <v>14</v>
      </c>
      <c r="F52" s="3" t="s">
        <v>13</v>
      </c>
      <c r="G52" s="4" t="n">
        <v>15000</v>
      </c>
      <c r="H52" s="4" t="n">
        <v>17651</v>
      </c>
    </row>
    <row r="53" customFormat="false" ht="15" hidden="false" customHeight="false" outlineLevel="0" collapsed="false">
      <c r="A53" s="2" t="n">
        <v>45748</v>
      </c>
      <c r="B53" s="3" t="n">
        <v>2025</v>
      </c>
      <c r="C53" s="3" t="s">
        <v>30</v>
      </c>
      <c r="D53" s="3" t="s">
        <v>18</v>
      </c>
      <c r="E53" s="3" t="s">
        <v>19</v>
      </c>
      <c r="F53" s="3" t="s">
        <v>11</v>
      </c>
      <c r="G53" s="4" t="n">
        <v>15000</v>
      </c>
      <c r="H53" s="4" t="n">
        <v>17389</v>
      </c>
    </row>
    <row r="54" customFormat="false" ht="15" hidden="false" customHeight="false" outlineLevel="0" collapsed="false">
      <c r="A54" s="2" t="n">
        <v>45748</v>
      </c>
      <c r="B54" s="3" t="n">
        <v>2025</v>
      </c>
      <c r="C54" s="3" t="s">
        <v>30</v>
      </c>
      <c r="D54" s="3" t="s">
        <v>18</v>
      </c>
      <c r="E54" s="3" t="s">
        <v>20</v>
      </c>
      <c r="F54" s="3" t="s">
        <v>11</v>
      </c>
      <c r="G54" s="4" t="n">
        <v>12000</v>
      </c>
      <c r="H54" s="4" t="n">
        <v>8517</v>
      </c>
    </row>
    <row r="55" customFormat="false" ht="15" hidden="false" customHeight="false" outlineLevel="0" collapsed="false">
      <c r="A55" s="2" t="n">
        <v>45748</v>
      </c>
      <c r="B55" s="3" t="n">
        <v>2025</v>
      </c>
      <c r="C55" s="3" t="s">
        <v>30</v>
      </c>
      <c r="D55" s="3" t="s">
        <v>18</v>
      </c>
      <c r="E55" s="3" t="s">
        <v>21</v>
      </c>
      <c r="F55" s="3" t="s">
        <v>13</v>
      </c>
      <c r="G55" s="4" t="n">
        <v>10000</v>
      </c>
      <c r="H55" s="4" t="n">
        <v>8197</v>
      </c>
    </row>
    <row r="56" customFormat="false" ht="15" hidden="false" customHeight="false" outlineLevel="0" collapsed="false">
      <c r="A56" s="2" t="n">
        <v>45748</v>
      </c>
      <c r="B56" s="3" t="n">
        <v>2025</v>
      </c>
      <c r="C56" s="3" t="s">
        <v>30</v>
      </c>
      <c r="D56" s="3" t="s">
        <v>22</v>
      </c>
      <c r="E56" s="3" t="s">
        <v>14</v>
      </c>
      <c r="F56" s="3" t="s">
        <v>13</v>
      </c>
      <c r="G56" s="4" t="n">
        <v>15000</v>
      </c>
      <c r="H56" s="4" t="n">
        <v>17602</v>
      </c>
    </row>
    <row r="57" customFormat="false" ht="15" hidden="false" customHeight="false" outlineLevel="0" collapsed="false">
      <c r="A57" s="2" t="n">
        <v>45748</v>
      </c>
      <c r="B57" s="3" t="n">
        <v>2025</v>
      </c>
      <c r="C57" s="3" t="s">
        <v>30</v>
      </c>
      <c r="D57" s="3" t="s">
        <v>22</v>
      </c>
      <c r="E57" s="3" t="s">
        <v>23</v>
      </c>
      <c r="F57" s="3" t="s">
        <v>13</v>
      </c>
      <c r="G57" s="4" t="n">
        <v>5000</v>
      </c>
      <c r="H57" s="4" t="n">
        <v>5330</v>
      </c>
    </row>
    <row r="58" customFormat="false" ht="15" hidden="false" customHeight="false" outlineLevel="0" collapsed="false">
      <c r="A58" s="2" t="n">
        <v>45748</v>
      </c>
      <c r="B58" s="3" t="n">
        <v>2025</v>
      </c>
      <c r="C58" s="3" t="s">
        <v>30</v>
      </c>
      <c r="D58" s="3" t="s">
        <v>22</v>
      </c>
      <c r="E58" s="3" t="s">
        <v>24</v>
      </c>
      <c r="F58" s="3" t="s">
        <v>13</v>
      </c>
      <c r="G58" s="4" t="n">
        <v>15000</v>
      </c>
      <c r="H58" s="4" t="n">
        <v>16244</v>
      </c>
    </row>
    <row r="59" customFormat="false" ht="15" hidden="false" customHeight="false" outlineLevel="0" collapsed="false">
      <c r="A59" s="2" t="n">
        <v>45748</v>
      </c>
      <c r="B59" s="3" t="n">
        <v>2025</v>
      </c>
      <c r="C59" s="3" t="s">
        <v>30</v>
      </c>
      <c r="D59" s="3" t="s">
        <v>25</v>
      </c>
      <c r="E59" s="3" t="s">
        <v>26</v>
      </c>
      <c r="F59" s="3" t="s">
        <v>13</v>
      </c>
      <c r="G59" s="4" t="n">
        <v>20000</v>
      </c>
      <c r="H59" s="4" t="n">
        <v>18753</v>
      </c>
    </row>
    <row r="60" customFormat="false" ht="15" hidden="false" customHeight="false" outlineLevel="0" collapsed="false">
      <c r="A60" s="2" t="n">
        <v>45748</v>
      </c>
      <c r="B60" s="3" t="n">
        <v>2025</v>
      </c>
      <c r="C60" s="3" t="s">
        <v>30</v>
      </c>
      <c r="D60" s="3" t="s">
        <v>25</v>
      </c>
      <c r="E60" s="3" t="s">
        <v>27</v>
      </c>
      <c r="F60" s="3" t="s">
        <v>11</v>
      </c>
      <c r="G60" s="4" t="n">
        <v>10000</v>
      </c>
      <c r="H60" s="4" t="n">
        <v>9638</v>
      </c>
    </row>
    <row r="61" customFormat="false" ht="15" hidden="false" customHeight="false" outlineLevel="0" collapsed="false">
      <c r="A61" s="2" t="n">
        <v>45748</v>
      </c>
      <c r="B61" s="3" t="n">
        <v>2025</v>
      </c>
      <c r="C61" s="3" t="s">
        <v>30</v>
      </c>
      <c r="D61" s="3" t="s">
        <v>25</v>
      </c>
      <c r="E61" s="3" t="s">
        <v>14</v>
      </c>
      <c r="F61" s="3" t="s">
        <v>13</v>
      </c>
      <c r="G61" s="4" t="n">
        <v>8000</v>
      </c>
      <c r="H61" s="4" t="n">
        <v>9316</v>
      </c>
    </row>
    <row r="62" customFormat="false" ht="15" hidden="false" customHeight="false" outlineLevel="0" collapsed="false">
      <c r="A62" s="2" t="n">
        <v>45778</v>
      </c>
      <c r="B62" s="3" t="n">
        <v>2025</v>
      </c>
      <c r="C62" s="3" t="s">
        <v>31</v>
      </c>
      <c r="D62" s="3" t="s">
        <v>9</v>
      </c>
      <c r="E62" s="3" t="s">
        <v>10</v>
      </c>
      <c r="F62" s="3" t="s">
        <v>11</v>
      </c>
      <c r="G62" s="4" t="n">
        <v>20000</v>
      </c>
      <c r="H62" s="4" t="n">
        <v>20899</v>
      </c>
    </row>
    <row r="63" customFormat="false" ht="15" hidden="false" customHeight="false" outlineLevel="0" collapsed="false">
      <c r="A63" s="2" t="n">
        <v>45778</v>
      </c>
      <c r="B63" s="3" t="n">
        <v>2025</v>
      </c>
      <c r="C63" s="3" t="s">
        <v>31</v>
      </c>
      <c r="D63" s="3" t="s">
        <v>9</v>
      </c>
      <c r="E63" s="3" t="s">
        <v>12</v>
      </c>
      <c r="F63" s="3" t="s">
        <v>11</v>
      </c>
      <c r="G63" s="4" t="n">
        <v>12000</v>
      </c>
      <c r="H63" s="4" t="n">
        <v>14371</v>
      </c>
    </row>
    <row r="64" customFormat="false" ht="15" hidden="false" customHeight="false" outlineLevel="0" collapsed="false">
      <c r="A64" s="2" t="n">
        <v>45778</v>
      </c>
      <c r="B64" s="3" t="n">
        <v>2025</v>
      </c>
      <c r="C64" s="3" t="s">
        <v>31</v>
      </c>
      <c r="D64" s="3" t="s">
        <v>9</v>
      </c>
      <c r="E64" s="3" t="s">
        <v>14</v>
      </c>
      <c r="F64" s="3" t="s">
        <v>13</v>
      </c>
      <c r="G64" s="4" t="n">
        <v>12000</v>
      </c>
      <c r="H64" s="4" t="n">
        <v>13798</v>
      </c>
    </row>
    <row r="65" customFormat="false" ht="15" hidden="false" customHeight="false" outlineLevel="0" collapsed="false">
      <c r="A65" s="2" t="n">
        <v>45778</v>
      </c>
      <c r="B65" s="3" t="n">
        <v>2025</v>
      </c>
      <c r="C65" s="3" t="s">
        <v>31</v>
      </c>
      <c r="D65" s="3" t="s">
        <v>15</v>
      </c>
      <c r="E65" s="3" t="s">
        <v>16</v>
      </c>
      <c r="F65" s="3" t="s">
        <v>13</v>
      </c>
      <c r="G65" s="4" t="n">
        <v>12000</v>
      </c>
      <c r="H65" s="4" t="n">
        <v>9126</v>
      </c>
    </row>
    <row r="66" customFormat="false" ht="15" hidden="false" customHeight="false" outlineLevel="0" collapsed="false">
      <c r="A66" s="2" t="n">
        <v>45778</v>
      </c>
      <c r="B66" s="3" t="n">
        <v>2025</v>
      </c>
      <c r="C66" s="3" t="s">
        <v>31</v>
      </c>
      <c r="D66" s="3" t="s">
        <v>15</v>
      </c>
      <c r="E66" s="3" t="s">
        <v>17</v>
      </c>
      <c r="F66" s="3" t="s">
        <v>13</v>
      </c>
      <c r="G66" s="4" t="n">
        <v>5000</v>
      </c>
      <c r="H66" s="4" t="n">
        <v>4345</v>
      </c>
    </row>
    <row r="67" customFormat="false" ht="15" hidden="false" customHeight="false" outlineLevel="0" collapsed="false">
      <c r="A67" s="2" t="n">
        <v>45778</v>
      </c>
      <c r="B67" s="3" t="n">
        <v>2025</v>
      </c>
      <c r="C67" s="3" t="s">
        <v>31</v>
      </c>
      <c r="D67" s="3" t="s">
        <v>15</v>
      </c>
      <c r="E67" s="3" t="s">
        <v>14</v>
      </c>
      <c r="F67" s="3" t="s">
        <v>13</v>
      </c>
      <c r="G67" s="4" t="n">
        <v>15000</v>
      </c>
      <c r="H67" s="4" t="n">
        <v>12152</v>
      </c>
    </row>
    <row r="68" customFormat="false" ht="15" hidden="false" customHeight="false" outlineLevel="0" collapsed="false">
      <c r="A68" s="2" t="n">
        <v>45778</v>
      </c>
      <c r="B68" s="3" t="n">
        <v>2025</v>
      </c>
      <c r="C68" s="3" t="s">
        <v>31</v>
      </c>
      <c r="D68" s="3" t="s">
        <v>18</v>
      </c>
      <c r="E68" s="3" t="s">
        <v>19</v>
      </c>
      <c r="F68" s="3" t="s">
        <v>13</v>
      </c>
      <c r="G68" s="4" t="n">
        <v>5000</v>
      </c>
      <c r="H68" s="4" t="n">
        <v>5270</v>
      </c>
    </row>
    <row r="69" customFormat="false" ht="15" hidden="false" customHeight="false" outlineLevel="0" collapsed="false">
      <c r="A69" s="2" t="n">
        <v>45778</v>
      </c>
      <c r="B69" s="3" t="n">
        <v>2025</v>
      </c>
      <c r="C69" s="3" t="s">
        <v>31</v>
      </c>
      <c r="D69" s="3" t="s">
        <v>18</v>
      </c>
      <c r="E69" s="3" t="s">
        <v>20</v>
      </c>
      <c r="F69" s="3" t="s">
        <v>13</v>
      </c>
      <c r="G69" s="4" t="n">
        <v>8000</v>
      </c>
      <c r="H69" s="4" t="n">
        <v>5870</v>
      </c>
    </row>
    <row r="70" customFormat="false" ht="15" hidden="false" customHeight="false" outlineLevel="0" collapsed="false">
      <c r="A70" s="2" t="n">
        <v>45778</v>
      </c>
      <c r="B70" s="3" t="n">
        <v>2025</v>
      </c>
      <c r="C70" s="3" t="s">
        <v>31</v>
      </c>
      <c r="D70" s="3" t="s">
        <v>18</v>
      </c>
      <c r="E70" s="3" t="s">
        <v>21</v>
      </c>
      <c r="F70" s="3" t="s">
        <v>13</v>
      </c>
      <c r="G70" s="4" t="n">
        <v>10000</v>
      </c>
      <c r="H70" s="4" t="n">
        <v>7354</v>
      </c>
    </row>
    <row r="71" customFormat="false" ht="15" hidden="false" customHeight="false" outlineLevel="0" collapsed="false">
      <c r="A71" s="2" t="n">
        <v>45778</v>
      </c>
      <c r="B71" s="3" t="n">
        <v>2025</v>
      </c>
      <c r="C71" s="3" t="s">
        <v>31</v>
      </c>
      <c r="D71" s="3" t="s">
        <v>22</v>
      </c>
      <c r="E71" s="3" t="s">
        <v>14</v>
      </c>
      <c r="F71" s="3" t="s">
        <v>13</v>
      </c>
      <c r="G71" s="4" t="n">
        <v>10000</v>
      </c>
      <c r="H71" s="4" t="n">
        <v>10345</v>
      </c>
    </row>
    <row r="72" customFormat="false" ht="15" hidden="false" customHeight="false" outlineLevel="0" collapsed="false">
      <c r="A72" s="2" t="n">
        <v>45778</v>
      </c>
      <c r="B72" s="3" t="n">
        <v>2025</v>
      </c>
      <c r="C72" s="3" t="s">
        <v>31</v>
      </c>
      <c r="D72" s="3" t="s">
        <v>22</v>
      </c>
      <c r="E72" s="3" t="s">
        <v>23</v>
      </c>
      <c r="F72" s="3" t="s">
        <v>11</v>
      </c>
      <c r="G72" s="4" t="n">
        <v>8000</v>
      </c>
      <c r="H72" s="4" t="n">
        <v>7757</v>
      </c>
    </row>
    <row r="73" customFormat="false" ht="15" hidden="false" customHeight="false" outlineLevel="0" collapsed="false">
      <c r="A73" s="2" t="n">
        <v>45778</v>
      </c>
      <c r="B73" s="3" t="n">
        <v>2025</v>
      </c>
      <c r="C73" s="3" t="s">
        <v>31</v>
      </c>
      <c r="D73" s="3" t="s">
        <v>22</v>
      </c>
      <c r="E73" s="3" t="s">
        <v>24</v>
      </c>
      <c r="F73" s="3" t="s">
        <v>11</v>
      </c>
      <c r="G73" s="4" t="n">
        <v>8000</v>
      </c>
      <c r="H73" s="4" t="n">
        <v>8738</v>
      </c>
    </row>
    <row r="74" customFormat="false" ht="15" hidden="false" customHeight="false" outlineLevel="0" collapsed="false">
      <c r="A74" s="2" t="n">
        <v>45778</v>
      </c>
      <c r="B74" s="3" t="n">
        <v>2025</v>
      </c>
      <c r="C74" s="3" t="s">
        <v>31</v>
      </c>
      <c r="D74" s="3" t="s">
        <v>25</v>
      </c>
      <c r="E74" s="3" t="s">
        <v>26</v>
      </c>
      <c r="F74" s="3" t="s">
        <v>11</v>
      </c>
      <c r="G74" s="4" t="n">
        <v>8000</v>
      </c>
      <c r="H74" s="4" t="n">
        <v>5977</v>
      </c>
    </row>
    <row r="75" customFormat="false" ht="15" hidden="false" customHeight="false" outlineLevel="0" collapsed="false">
      <c r="A75" s="2" t="n">
        <v>45778</v>
      </c>
      <c r="B75" s="3" t="n">
        <v>2025</v>
      </c>
      <c r="C75" s="3" t="s">
        <v>31</v>
      </c>
      <c r="D75" s="3" t="s">
        <v>25</v>
      </c>
      <c r="E75" s="3" t="s">
        <v>27</v>
      </c>
      <c r="F75" s="3" t="s">
        <v>11</v>
      </c>
      <c r="G75" s="4" t="n">
        <v>10000</v>
      </c>
      <c r="H75" s="4" t="n">
        <v>9118</v>
      </c>
    </row>
    <row r="76" customFormat="false" ht="15" hidden="false" customHeight="false" outlineLevel="0" collapsed="false">
      <c r="A76" s="2" t="n">
        <v>45778</v>
      </c>
      <c r="B76" s="3" t="n">
        <v>2025</v>
      </c>
      <c r="C76" s="3" t="s">
        <v>31</v>
      </c>
      <c r="D76" s="3" t="s">
        <v>25</v>
      </c>
      <c r="E76" s="3" t="s">
        <v>14</v>
      </c>
      <c r="F76" s="3" t="s">
        <v>13</v>
      </c>
      <c r="G76" s="4" t="n">
        <v>20000</v>
      </c>
      <c r="H76" s="4" t="n">
        <v>14542</v>
      </c>
    </row>
    <row r="77" customFormat="false" ht="15" hidden="false" customHeight="false" outlineLevel="0" collapsed="false">
      <c r="A77" s="2" t="n">
        <v>45809</v>
      </c>
      <c r="B77" s="3" t="n">
        <v>2025</v>
      </c>
      <c r="C77" s="3" t="s">
        <v>32</v>
      </c>
      <c r="D77" s="3" t="s">
        <v>9</v>
      </c>
      <c r="E77" s="3" t="s">
        <v>10</v>
      </c>
      <c r="F77" s="3" t="s">
        <v>13</v>
      </c>
      <c r="G77" s="4" t="n">
        <v>20000</v>
      </c>
      <c r="H77" s="4" t="n">
        <v>23842</v>
      </c>
    </row>
    <row r="78" customFormat="false" ht="15" hidden="false" customHeight="false" outlineLevel="0" collapsed="false">
      <c r="A78" s="2" t="n">
        <v>45809</v>
      </c>
      <c r="B78" s="3" t="n">
        <v>2025</v>
      </c>
      <c r="C78" s="3" t="s">
        <v>32</v>
      </c>
      <c r="D78" s="3" t="s">
        <v>9</v>
      </c>
      <c r="E78" s="3" t="s">
        <v>12</v>
      </c>
      <c r="F78" s="3" t="s">
        <v>11</v>
      </c>
      <c r="G78" s="4" t="n">
        <v>5000</v>
      </c>
      <c r="H78" s="4" t="n">
        <v>4507</v>
      </c>
    </row>
    <row r="79" customFormat="false" ht="15" hidden="false" customHeight="false" outlineLevel="0" collapsed="false">
      <c r="A79" s="2" t="n">
        <v>45809</v>
      </c>
      <c r="B79" s="3" t="n">
        <v>2025</v>
      </c>
      <c r="C79" s="3" t="s">
        <v>32</v>
      </c>
      <c r="D79" s="3" t="s">
        <v>9</v>
      </c>
      <c r="E79" s="3" t="s">
        <v>14</v>
      </c>
      <c r="F79" s="3" t="s">
        <v>13</v>
      </c>
      <c r="G79" s="4" t="n">
        <v>5000</v>
      </c>
      <c r="H79" s="4" t="n">
        <v>4122</v>
      </c>
    </row>
    <row r="80" customFormat="false" ht="15" hidden="false" customHeight="false" outlineLevel="0" collapsed="false">
      <c r="A80" s="2" t="n">
        <v>45809</v>
      </c>
      <c r="B80" s="3" t="n">
        <v>2025</v>
      </c>
      <c r="C80" s="3" t="s">
        <v>32</v>
      </c>
      <c r="D80" s="3" t="s">
        <v>15</v>
      </c>
      <c r="E80" s="3" t="s">
        <v>16</v>
      </c>
      <c r="F80" s="3" t="s">
        <v>13</v>
      </c>
      <c r="G80" s="4" t="n">
        <v>8000</v>
      </c>
      <c r="H80" s="4" t="n">
        <v>7745</v>
      </c>
    </row>
    <row r="81" customFormat="false" ht="15" hidden="false" customHeight="false" outlineLevel="0" collapsed="false">
      <c r="A81" s="2" t="n">
        <v>45809</v>
      </c>
      <c r="B81" s="3" t="n">
        <v>2025</v>
      </c>
      <c r="C81" s="3" t="s">
        <v>32</v>
      </c>
      <c r="D81" s="3" t="s">
        <v>15</v>
      </c>
      <c r="E81" s="3" t="s">
        <v>17</v>
      </c>
      <c r="F81" s="3" t="s">
        <v>11</v>
      </c>
      <c r="G81" s="4" t="n">
        <v>12000</v>
      </c>
      <c r="H81" s="4" t="n">
        <v>9501</v>
      </c>
    </row>
    <row r="82" customFormat="false" ht="15" hidden="false" customHeight="false" outlineLevel="0" collapsed="false">
      <c r="A82" s="2" t="n">
        <v>45809</v>
      </c>
      <c r="B82" s="3" t="n">
        <v>2025</v>
      </c>
      <c r="C82" s="3" t="s">
        <v>32</v>
      </c>
      <c r="D82" s="3" t="s">
        <v>15</v>
      </c>
      <c r="E82" s="3" t="s">
        <v>14</v>
      </c>
      <c r="F82" s="3" t="s">
        <v>13</v>
      </c>
      <c r="G82" s="4" t="n">
        <v>8000</v>
      </c>
      <c r="H82" s="4" t="n">
        <v>9098</v>
      </c>
    </row>
    <row r="83" customFormat="false" ht="15" hidden="false" customHeight="false" outlineLevel="0" collapsed="false">
      <c r="A83" s="2" t="n">
        <v>45809</v>
      </c>
      <c r="B83" s="3" t="n">
        <v>2025</v>
      </c>
      <c r="C83" s="3" t="s">
        <v>32</v>
      </c>
      <c r="D83" s="3" t="s">
        <v>18</v>
      </c>
      <c r="E83" s="3" t="s">
        <v>19</v>
      </c>
      <c r="F83" s="3" t="s">
        <v>13</v>
      </c>
      <c r="G83" s="4" t="n">
        <v>5000</v>
      </c>
      <c r="H83" s="4" t="n">
        <v>4608</v>
      </c>
    </row>
    <row r="84" customFormat="false" ht="15" hidden="false" customHeight="false" outlineLevel="0" collapsed="false">
      <c r="A84" s="2" t="n">
        <v>45809</v>
      </c>
      <c r="B84" s="3" t="n">
        <v>2025</v>
      </c>
      <c r="C84" s="3" t="s">
        <v>32</v>
      </c>
      <c r="D84" s="3" t="s">
        <v>18</v>
      </c>
      <c r="E84" s="3" t="s">
        <v>20</v>
      </c>
      <c r="F84" s="3" t="s">
        <v>13</v>
      </c>
      <c r="G84" s="4" t="n">
        <v>5000</v>
      </c>
      <c r="H84" s="4" t="n">
        <v>5130</v>
      </c>
    </row>
    <row r="85" customFormat="false" ht="15" hidden="false" customHeight="false" outlineLevel="0" collapsed="false">
      <c r="A85" s="2" t="n">
        <v>45809</v>
      </c>
      <c r="B85" s="3" t="n">
        <v>2025</v>
      </c>
      <c r="C85" s="3" t="s">
        <v>32</v>
      </c>
      <c r="D85" s="3" t="s">
        <v>18</v>
      </c>
      <c r="E85" s="3" t="s">
        <v>21</v>
      </c>
      <c r="F85" s="3" t="s">
        <v>13</v>
      </c>
      <c r="G85" s="4" t="n">
        <v>5000</v>
      </c>
      <c r="H85" s="4" t="n">
        <v>5816</v>
      </c>
    </row>
    <row r="86" customFormat="false" ht="15" hidden="false" customHeight="false" outlineLevel="0" collapsed="false">
      <c r="A86" s="2" t="n">
        <v>45809</v>
      </c>
      <c r="B86" s="3" t="n">
        <v>2025</v>
      </c>
      <c r="C86" s="3" t="s">
        <v>32</v>
      </c>
      <c r="D86" s="3" t="s">
        <v>22</v>
      </c>
      <c r="E86" s="3" t="s">
        <v>14</v>
      </c>
      <c r="F86" s="3" t="s">
        <v>13</v>
      </c>
      <c r="G86" s="4" t="n">
        <v>8000</v>
      </c>
      <c r="H86" s="4" t="n">
        <v>7226</v>
      </c>
    </row>
    <row r="87" customFormat="false" ht="15" hidden="false" customHeight="false" outlineLevel="0" collapsed="false">
      <c r="A87" s="2" t="n">
        <v>45809</v>
      </c>
      <c r="B87" s="3" t="n">
        <v>2025</v>
      </c>
      <c r="C87" s="3" t="s">
        <v>32</v>
      </c>
      <c r="D87" s="3" t="s">
        <v>22</v>
      </c>
      <c r="E87" s="3" t="s">
        <v>23</v>
      </c>
      <c r="F87" s="3" t="s">
        <v>11</v>
      </c>
      <c r="G87" s="4" t="n">
        <v>12000</v>
      </c>
      <c r="H87" s="4" t="n">
        <v>9682</v>
      </c>
    </row>
    <row r="88" customFormat="false" ht="15" hidden="false" customHeight="false" outlineLevel="0" collapsed="false">
      <c r="A88" s="2" t="n">
        <v>45809</v>
      </c>
      <c r="B88" s="3" t="n">
        <v>2025</v>
      </c>
      <c r="C88" s="3" t="s">
        <v>32</v>
      </c>
      <c r="D88" s="3" t="s">
        <v>22</v>
      </c>
      <c r="E88" s="3" t="s">
        <v>24</v>
      </c>
      <c r="F88" s="3" t="s">
        <v>13</v>
      </c>
      <c r="G88" s="4" t="n">
        <v>5000</v>
      </c>
      <c r="H88" s="4" t="n">
        <v>3912</v>
      </c>
    </row>
    <row r="89" customFormat="false" ht="15" hidden="false" customHeight="false" outlineLevel="0" collapsed="false">
      <c r="A89" s="2" t="n">
        <v>45809</v>
      </c>
      <c r="B89" s="3" t="n">
        <v>2025</v>
      </c>
      <c r="C89" s="3" t="s">
        <v>32</v>
      </c>
      <c r="D89" s="3" t="s">
        <v>25</v>
      </c>
      <c r="E89" s="3" t="s">
        <v>26</v>
      </c>
      <c r="F89" s="3" t="s">
        <v>11</v>
      </c>
      <c r="G89" s="4" t="n">
        <v>12000</v>
      </c>
      <c r="H89" s="4" t="n">
        <v>9991</v>
      </c>
    </row>
    <row r="90" customFormat="false" ht="15" hidden="false" customHeight="false" outlineLevel="0" collapsed="false">
      <c r="A90" s="2" t="n">
        <v>45809</v>
      </c>
      <c r="B90" s="3" t="n">
        <v>2025</v>
      </c>
      <c r="C90" s="3" t="s">
        <v>32</v>
      </c>
      <c r="D90" s="3" t="s">
        <v>25</v>
      </c>
      <c r="E90" s="3" t="s">
        <v>27</v>
      </c>
      <c r="F90" s="3" t="s">
        <v>11</v>
      </c>
      <c r="G90" s="4" t="n">
        <v>10000</v>
      </c>
      <c r="H90" s="4" t="n">
        <v>9115</v>
      </c>
    </row>
    <row r="91" customFormat="false" ht="15" hidden="false" customHeight="false" outlineLevel="0" collapsed="false">
      <c r="A91" s="2" t="n">
        <v>45809</v>
      </c>
      <c r="B91" s="3" t="n">
        <v>2025</v>
      </c>
      <c r="C91" s="3" t="s">
        <v>32</v>
      </c>
      <c r="D91" s="3" t="s">
        <v>25</v>
      </c>
      <c r="E91" s="3" t="s">
        <v>14</v>
      </c>
      <c r="F91" s="3" t="s">
        <v>13</v>
      </c>
      <c r="G91" s="4" t="n">
        <v>8000</v>
      </c>
      <c r="H91" s="4" t="n">
        <v>6360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3</v>
      </c>
      <c r="B1" s="1" t="s">
        <v>33</v>
      </c>
      <c r="C1" s="1" t="s">
        <v>34</v>
      </c>
      <c r="D1" s="1" t="s">
        <v>35</v>
      </c>
      <c r="E1" s="1" t="s">
        <v>36</v>
      </c>
    </row>
    <row r="2" customFormat="false" ht="15" hidden="false" customHeight="false" outlineLevel="0" collapsed="false">
      <c r="A2" s="3" t="s">
        <v>9</v>
      </c>
      <c r="B2" s="5" t="n">
        <f aca="false">SUMIF(Datos!D:D,A2,Datos!G:G)</f>
        <v>222000</v>
      </c>
      <c r="C2" s="5" t="n">
        <f aca="false">SUMIF(Datos!D:D,A2,Datos!H:H)</f>
        <v>220309</v>
      </c>
      <c r="D2" s="5" t="n">
        <f aca="false">C2-B2</f>
        <v>-1691</v>
      </c>
      <c r="E2" s="6" t="n">
        <f aca="false">C2/B2</f>
        <v>0.992382882882883</v>
      </c>
    </row>
    <row r="3" customFormat="false" ht="15" hidden="false" customHeight="false" outlineLevel="0" collapsed="false">
      <c r="A3" s="3" t="s">
        <v>15</v>
      </c>
      <c r="B3" s="5" t="n">
        <f aca="false">SUMIF(Datos!D:D,A3,Datos!G:G)</f>
        <v>204000</v>
      </c>
      <c r="C3" s="5" t="n">
        <f aca="false">SUMIF(Datos!D:D,A3,Datos!H:H)</f>
        <v>193378</v>
      </c>
      <c r="D3" s="5" t="n">
        <f aca="false">C3-B3</f>
        <v>-10622</v>
      </c>
      <c r="E3" s="6" t="n">
        <f aca="false">C3/B3</f>
        <v>0.94793137254902</v>
      </c>
    </row>
    <row r="4" customFormat="false" ht="15" hidden="false" customHeight="false" outlineLevel="0" collapsed="false">
      <c r="A4" s="3" t="s">
        <v>18</v>
      </c>
      <c r="B4" s="5" t="n">
        <f aca="false">SUMIF(Datos!D:D,A4,Datos!G:G)</f>
        <v>169000</v>
      </c>
      <c r="C4" s="5" t="n">
        <f aca="false">SUMIF(Datos!D:D,A4,Datos!H:H)</f>
        <v>153752</v>
      </c>
      <c r="D4" s="5" t="n">
        <f aca="false">C4-B4</f>
        <v>-15248</v>
      </c>
      <c r="E4" s="6" t="n">
        <f aca="false">C4/B4</f>
        <v>0.909775147928994</v>
      </c>
    </row>
    <row r="5" customFormat="false" ht="15" hidden="false" customHeight="false" outlineLevel="0" collapsed="false">
      <c r="A5" s="3" t="s">
        <v>22</v>
      </c>
      <c r="B5" s="5" t="n">
        <f aca="false">SUMIF(Datos!D:D,A5,Datos!G:G)</f>
        <v>201000</v>
      </c>
      <c r="C5" s="5" t="n">
        <f aca="false">SUMIF(Datos!D:D,A5,Datos!H:H)</f>
        <v>188548</v>
      </c>
      <c r="D5" s="5" t="n">
        <f aca="false">C5-B5</f>
        <v>-12452</v>
      </c>
      <c r="E5" s="6" t="n">
        <f aca="false">C5/B5</f>
        <v>0.938049751243781</v>
      </c>
    </row>
    <row r="6" customFormat="false" ht="15" hidden="false" customHeight="false" outlineLevel="0" collapsed="false">
      <c r="A6" s="3" t="s">
        <v>25</v>
      </c>
      <c r="B6" s="5" t="n">
        <f aca="false">SUMIF(Datos!D:D,A6,Datos!G:G)</f>
        <v>220000</v>
      </c>
      <c r="C6" s="5" t="n">
        <f aca="false">SUMIF(Datos!D:D,A6,Datos!H:H)</f>
        <v>202168</v>
      </c>
      <c r="D6" s="5" t="n">
        <f aca="false">C6-B6</f>
        <v>-17832</v>
      </c>
      <c r="E6" s="6" t="n">
        <f aca="false">C6/B6</f>
        <v>0.918945454545455</v>
      </c>
    </row>
    <row r="7" customFormat="false" ht="15" hidden="false" customHeight="false" outlineLevel="0" collapsed="false">
      <c r="A7" s="7" t="s">
        <v>37</v>
      </c>
      <c r="B7" s="8" t="n">
        <f aca="false">SUM(B2:B6)</f>
        <v>1016000</v>
      </c>
      <c r="C7" s="8" t="n">
        <f aca="false">SUM(C2:C6)</f>
        <v>958155</v>
      </c>
      <c r="D7" s="8" t="n">
        <f aca="false">C7-B7</f>
        <v>-57845</v>
      </c>
      <c r="E7" s="9" t="n">
        <f aca="false">C7/B7</f>
        <v>0.94306594488189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2026-06-20T01:14:43Z</dcterms:created>
  <dc:creator>openpyxl</dc:creator>
  <dc:description/>
  <dc:language>en-US</dc:language>
  <cp:lastModifiedBy/>
  <dcterms:modified xsi:type="dcterms:W3CDTF">2026-06-20T01:14:43Z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